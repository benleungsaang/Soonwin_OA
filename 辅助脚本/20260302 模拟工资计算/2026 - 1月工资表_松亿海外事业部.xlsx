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oonwin\开支记录\工资表\"/>
    </mc:Choice>
  </mc:AlternateContent>
  <bookViews>
    <workbookView xWindow="0" yWindow="0" windowWidth="28800" windowHeight="1246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6" i="1" l="1"/>
  <c r="F5" i="1"/>
  <c r="H6" i="1" l="1"/>
  <c r="H5" i="1"/>
  <c r="F4" i="1"/>
  <c r="H4" i="1" s="1"/>
  <c r="O4" i="1" s="1"/>
  <c r="W4" i="1" s="1"/>
  <c r="W7" i="1" s="1"/>
  <c r="O6" i="1" l="1"/>
  <c r="W6" i="1" s="1"/>
  <c r="O5" i="1"/>
  <c r="W5" i="1" s="1"/>
</calcChain>
</file>

<file path=xl/sharedStrings.xml><?xml version="1.0" encoding="utf-8"?>
<sst xmlns="http://schemas.openxmlformats.org/spreadsheetml/2006/main" count="48" uniqueCount="42">
  <si>
    <t>序号</t>
  </si>
  <si>
    <t>部门   （职务）</t>
  </si>
  <si>
    <t>姓名</t>
  </si>
  <si>
    <t>基本劳务费</t>
  </si>
  <si>
    <t>实际    出勤</t>
  </si>
  <si>
    <t>计时工资       （元/天）</t>
  </si>
  <si>
    <t>合计</t>
  </si>
  <si>
    <t>计件/提成</t>
  </si>
  <si>
    <t>加班小时</t>
  </si>
  <si>
    <t>加班     工资</t>
  </si>
  <si>
    <t>出差     （售后人员）</t>
  </si>
  <si>
    <t>总工资</t>
  </si>
  <si>
    <t>请假       迟到小时</t>
  </si>
  <si>
    <t>请假     扣费</t>
  </si>
  <si>
    <t>宿舍   电费</t>
  </si>
  <si>
    <t>社保个人部分487</t>
  </si>
  <si>
    <t>个税</t>
  </si>
  <si>
    <t>个税   补缴</t>
  </si>
  <si>
    <t>借支</t>
  </si>
  <si>
    <t>应收工资</t>
  </si>
  <si>
    <t>松亿社保人员</t>
  </si>
  <si>
    <t>单发</t>
  </si>
  <si>
    <t>备注</t>
  </si>
  <si>
    <t>梁成斌</t>
  </si>
  <si>
    <t>6000/月</t>
  </si>
  <si>
    <t>月</t>
  </si>
  <si>
    <t>是</t>
  </si>
  <si>
    <t>总经理</t>
    <phoneticPr fontId="9" type="noConversion"/>
  </si>
  <si>
    <t>许肖平</t>
    <phoneticPr fontId="9" type="noConversion"/>
  </si>
  <si>
    <r>
      <t>税后2</t>
    </r>
    <r>
      <rPr>
        <sz val="11"/>
        <color theme="1"/>
        <rFont val="宋体"/>
        <family val="3"/>
        <charset val="134"/>
        <scheme val="minor"/>
      </rPr>
      <t>50,000/12=20833</t>
    </r>
    <phoneticPr fontId="9" type="noConversion"/>
  </si>
  <si>
    <t>合计：</t>
    <phoneticPr fontId="9" type="noConversion"/>
  </si>
  <si>
    <t>业务专员</t>
    <phoneticPr fontId="9" type="noConversion"/>
  </si>
  <si>
    <t>美工专员</t>
    <phoneticPr fontId="9" type="noConversion"/>
  </si>
  <si>
    <t>薛雪</t>
    <phoneticPr fontId="9" type="noConversion"/>
  </si>
  <si>
    <t>邱乐乐</t>
    <phoneticPr fontId="9" type="noConversion"/>
  </si>
  <si>
    <t>5000/月</t>
    <phoneticPr fontId="9" type="noConversion"/>
  </si>
  <si>
    <r>
      <t>500</t>
    </r>
    <r>
      <rPr>
        <b/>
        <sz val="11"/>
        <rFont val="宋体"/>
        <family val="3"/>
        <charset val="134"/>
        <scheme val="minor"/>
      </rPr>
      <t>0/月</t>
    </r>
    <phoneticPr fontId="9" type="noConversion"/>
  </si>
  <si>
    <t>出勤天数</t>
    <phoneticPr fontId="9" type="noConversion"/>
  </si>
  <si>
    <t>补贴
交通</t>
    <phoneticPr fontId="9" type="noConversion"/>
  </si>
  <si>
    <t>补贴
通讯</t>
    <phoneticPr fontId="9" type="noConversion"/>
  </si>
  <si>
    <t>总经理助理
兼业务专员</t>
    <phoneticPr fontId="9" type="noConversion"/>
  </si>
  <si>
    <r>
      <t>（松亿海外事业部人员）202</t>
    </r>
    <r>
      <rPr>
        <b/>
        <sz val="16"/>
        <rFont val="宋体"/>
        <family val="3"/>
        <charset val="134"/>
        <scheme val="minor"/>
      </rPr>
      <t>6年1月份工资明细表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</si>
</sst>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);[Red]\(0.00\)"/>
    <numFmt numFmtId="177" formatCode="0_ "/>
    <numFmt numFmtId="178" formatCode="[$-F800]dddd\,\ mmmm\ dd\,\ yyyy"/>
    <numFmt numFmtId="179" formatCode="0.00_ ;[Red]\-0.00\ "/>
    <numFmt numFmtId="180" formatCode="0.0_ "/>
    <numFmt numFmtId="181" formatCode="0.00_ "/>
  </numFmts>
  <fonts count="12" x14ac:knownFonts="1">
    <font>
      <sz val="11"/>
      <color theme="1"/>
      <name val="宋体"/>
      <charset val="134"/>
      <scheme val="minor"/>
    </font>
    <font>
      <b/>
      <sz val="16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6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178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/>
    </xf>
    <xf numFmtId="178" fontId="4" fillId="0" borderId="6" xfId="0" applyNumberFormat="1" applyFont="1" applyFill="1" applyBorder="1" applyAlignment="1">
      <alignment horizontal="center" vertical="center"/>
    </xf>
    <xf numFmtId="178" fontId="0" fillId="0" borderId="8" xfId="0" applyNumberForma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180" fontId="6" fillId="0" borderId="6" xfId="0" applyNumberFormat="1" applyFont="1" applyFill="1" applyBorder="1" applyAlignment="1">
      <alignment horizontal="center" vertical="center"/>
    </xf>
    <xf numFmtId="177" fontId="4" fillId="0" borderId="6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176" fontId="2" fillId="3" borderId="6" xfId="0" applyNumberFormat="1" applyFont="1" applyFill="1" applyBorder="1" applyAlignment="1">
      <alignment horizontal="center" vertical="center" wrapText="1"/>
    </xf>
    <xf numFmtId="181" fontId="2" fillId="0" borderId="6" xfId="0" applyNumberFormat="1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176" fontId="8" fillId="0" borderId="8" xfId="0" applyNumberFormat="1" applyFont="1" applyFill="1" applyBorder="1" applyAlignment="1">
      <alignment horizontal="center" vertical="center"/>
    </xf>
    <xf numFmtId="178" fontId="2" fillId="0" borderId="10" xfId="0" applyNumberFormat="1" applyFont="1" applyFill="1" applyBorder="1" applyAlignment="1">
      <alignment horizontal="center" vertical="center" wrapText="1"/>
    </xf>
    <xf numFmtId="176" fontId="8" fillId="0" borderId="11" xfId="0" applyNumberFormat="1" applyFon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 wrapText="1"/>
    </xf>
    <xf numFmtId="178" fontId="10" fillId="0" borderId="6" xfId="0" applyNumberFormat="1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77" fontId="4" fillId="4" borderId="6" xfId="0" applyNumberFormat="1" applyFont="1" applyFill="1" applyBorder="1" applyAlignment="1">
      <alignment horizontal="center" vertical="center"/>
    </xf>
    <xf numFmtId="181" fontId="6" fillId="4" borderId="6" xfId="0" applyNumberFormat="1" applyFont="1" applyFill="1" applyBorder="1" applyAlignment="1">
      <alignment horizontal="center" vertical="center"/>
    </xf>
    <xf numFmtId="178" fontId="4" fillId="4" borderId="6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176" fontId="3" fillId="4" borderId="6" xfId="0" applyNumberFormat="1" applyFont="1" applyFill="1" applyBorder="1" applyAlignment="1">
      <alignment horizontal="center" vertical="center" wrapText="1"/>
    </xf>
    <xf numFmtId="176" fontId="2" fillId="4" borderId="6" xfId="0" applyNumberFormat="1" applyFont="1" applyFill="1" applyBorder="1" applyAlignment="1">
      <alignment horizontal="center" vertical="center" wrapText="1"/>
    </xf>
    <xf numFmtId="178" fontId="11" fillId="0" borderId="8" xfId="0" applyNumberFormat="1" applyFont="1" applyFill="1" applyBorder="1" applyAlignment="1">
      <alignment horizontal="center" vertical="center"/>
    </xf>
    <xf numFmtId="178" fontId="11" fillId="0" borderId="7" xfId="0" applyNumberFormat="1" applyFon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/>
    </xf>
    <xf numFmtId="0" fontId="11" fillId="4" borderId="0" xfId="0" applyFont="1" applyFill="1">
      <alignment vertical="center"/>
    </xf>
    <xf numFmtId="0" fontId="4" fillId="0" borderId="6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8" fontId="3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178" fontId="6" fillId="0" borderId="9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tabSelected="1" workbookViewId="0">
      <selection activeCell="B8" sqref="B8"/>
    </sheetView>
  </sheetViews>
  <sheetFormatPr defaultColWidth="9" defaultRowHeight="13.5" x14ac:dyDescent="0.15"/>
  <cols>
    <col min="1" max="1" width="13" bestFit="1" customWidth="1"/>
    <col min="2" max="2" width="19.75" bestFit="1" customWidth="1"/>
    <col min="12" max="12" width="6.625" customWidth="1"/>
    <col min="21" max="21" width="7.25" customWidth="1"/>
    <col min="23" max="23" width="10.5" bestFit="1" customWidth="1"/>
    <col min="27" max="27" width="22.5" bestFit="1" customWidth="1"/>
  </cols>
  <sheetData>
    <row r="1" spans="1:27" ht="20.25" x14ac:dyDescent="0.15">
      <c r="A1" s="41" t="s">
        <v>41</v>
      </c>
      <c r="B1" s="42"/>
      <c r="C1" s="42"/>
      <c r="D1" s="42"/>
      <c r="E1" s="42"/>
      <c r="F1" s="42"/>
      <c r="G1" s="42"/>
      <c r="H1" s="42"/>
      <c r="I1" s="43"/>
      <c r="J1" s="42"/>
      <c r="K1" s="42"/>
      <c r="L1" s="42"/>
      <c r="M1" s="42"/>
      <c r="N1" s="42"/>
      <c r="O1" s="42"/>
      <c r="P1" s="42"/>
      <c r="Q1" s="42"/>
      <c r="R1" s="44"/>
      <c r="S1" s="42"/>
      <c r="T1" s="42"/>
      <c r="U1" s="42"/>
      <c r="V1" s="42"/>
      <c r="W1" s="42"/>
      <c r="X1" s="42"/>
      <c r="Y1" s="45"/>
      <c r="Z1" s="46"/>
    </row>
    <row r="2" spans="1:27" ht="39" customHeight="1" x14ac:dyDescent="0.1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5" t="s">
        <v>37</v>
      </c>
      <c r="H2" s="2" t="s">
        <v>6</v>
      </c>
      <c r="I2" s="4" t="s">
        <v>7</v>
      </c>
      <c r="J2" s="4" t="s">
        <v>8</v>
      </c>
      <c r="K2" s="4" t="s">
        <v>9</v>
      </c>
      <c r="L2" s="2" t="s">
        <v>38</v>
      </c>
      <c r="M2" s="2" t="s">
        <v>39</v>
      </c>
      <c r="N2" s="10" t="s">
        <v>10</v>
      </c>
      <c r="O2" s="11" t="s">
        <v>11</v>
      </c>
      <c r="P2" s="12" t="s">
        <v>12</v>
      </c>
      <c r="Q2" s="13" t="s">
        <v>13</v>
      </c>
      <c r="R2" s="12" t="s">
        <v>14</v>
      </c>
      <c r="S2" s="17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18" t="s">
        <v>21</v>
      </c>
      <c r="Z2" s="23" t="s">
        <v>22</v>
      </c>
    </row>
    <row r="3" spans="1:27" ht="45.95" customHeight="1" x14ac:dyDescent="0.15">
      <c r="A3" s="6">
        <v>1</v>
      </c>
      <c r="B3" s="26" t="s">
        <v>27</v>
      </c>
      <c r="C3" s="28" t="s">
        <v>28</v>
      </c>
      <c r="D3" s="32"/>
      <c r="E3" s="7" t="s">
        <v>25</v>
      </c>
      <c r="F3" s="33"/>
      <c r="G3" s="33"/>
      <c r="H3" s="33"/>
      <c r="I3" s="7"/>
      <c r="J3" s="7">
        <v>0</v>
      </c>
      <c r="K3" s="7">
        <v>0</v>
      </c>
      <c r="L3" s="7">
        <v>0</v>
      </c>
      <c r="M3" s="7"/>
      <c r="N3" s="7">
        <v>0</v>
      </c>
      <c r="O3" s="34"/>
      <c r="P3" s="15"/>
      <c r="Q3" s="16">
        <v>0</v>
      </c>
      <c r="R3" s="16">
        <v>0</v>
      </c>
      <c r="S3" s="30"/>
      <c r="T3" s="31"/>
      <c r="U3" s="16">
        <v>0</v>
      </c>
      <c r="V3" s="7">
        <v>0</v>
      </c>
      <c r="W3" s="35">
        <v>20833</v>
      </c>
      <c r="X3" s="20" t="s">
        <v>26</v>
      </c>
      <c r="Y3" s="21"/>
      <c r="Z3" s="24"/>
      <c r="AA3" s="39" t="s">
        <v>29</v>
      </c>
    </row>
    <row r="4" spans="1:27" ht="45.95" customHeight="1" x14ac:dyDescent="0.15">
      <c r="A4" s="6">
        <v>2</v>
      </c>
      <c r="B4" s="40" t="s">
        <v>40</v>
      </c>
      <c r="C4" s="7" t="s">
        <v>23</v>
      </c>
      <c r="D4" s="8" t="s">
        <v>24</v>
      </c>
      <c r="E4" s="7" t="s">
        <v>25</v>
      </c>
      <c r="F4" s="7">
        <f>6000/26</f>
        <v>230.76923076923077</v>
      </c>
      <c r="G4" s="7">
        <v>26</v>
      </c>
      <c r="H4" s="7">
        <f>F4*G4</f>
        <v>6000</v>
      </c>
      <c r="I4" s="7"/>
      <c r="J4" s="7">
        <v>0</v>
      </c>
      <c r="K4" s="7">
        <v>0</v>
      </c>
      <c r="L4" s="7">
        <v>0</v>
      </c>
      <c r="M4" s="7">
        <v>200</v>
      </c>
      <c r="N4" s="7">
        <v>0</v>
      </c>
      <c r="O4" s="14">
        <f>H4+K4+L4+M4</f>
        <v>6200</v>
      </c>
      <c r="P4" s="15"/>
      <c r="Q4" s="16">
        <v>0</v>
      </c>
      <c r="R4" s="16">
        <v>0</v>
      </c>
      <c r="S4" s="30">
        <v>-487</v>
      </c>
      <c r="T4" s="31">
        <v>-21.39</v>
      </c>
      <c r="U4" s="16">
        <v>0</v>
      </c>
      <c r="V4" s="7">
        <v>0</v>
      </c>
      <c r="W4" s="19">
        <f>O4+Q4+R4+S4+T4+U4+V4</f>
        <v>5691.61</v>
      </c>
      <c r="X4" s="20" t="s">
        <v>26</v>
      </c>
      <c r="Y4" s="21"/>
      <c r="Z4" s="24"/>
    </row>
    <row r="5" spans="1:27" ht="45.95" customHeight="1" x14ac:dyDescent="0.15">
      <c r="A5" s="6">
        <v>3</v>
      </c>
      <c r="B5" s="26" t="s">
        <v>31</v>
      </c>
      <c r="C5" s="28" t="s">
        <v>33</v>
      </c>
      <c r="D5" s="27" t="s">
        <v>35</v>
      </c>
      <c r="E5" s="7" t="s">
        <v>25</v>
      </c>
      <c r="F5" s="7">
        <f>5000/26</f>
        <v>192.30769230769232</v>
      </c>
      <c r="G5" s="7">
        <v>12</v>
      </c>
      <c r="H5" s="7">
        <f>F5*12</f>
        <v>2307.6923076923076</v>
      </c>
      <c r="I5" s="7"/>
      <c r="J5" s="7">
        <v>0</v>
      </c>
      <c r="K5" s="7">
        <v>0</v>
      </c>
      <c r="L5" s="7">
        <v>0</v>
      </c>
      <c r="M5" s="7"/>
      <c r="N5" s="7">
        <v>0</v>
      </c>
      <c r="O5" s="14">
        <f>H5+K5+L5+N5</f>
        <v>2307.6923076923076</v>
      </c>
      <c r="P5" s="15"/>
      <c r="Q5" s="16">
        <v>0</v>
      </c>
      <c r="R5" s="16">
        <v>0</v>
      </c>
      <c r="S5" s="30"/>
      <c r="T5" s="31"/>
      <c r="U5" s="16">
        <v>0</v>
      </c>
      <c r="V5" s="7">
        <v>0</v>
      </c>
      <c r="W5" s="19">
        <f>O5+Q5+R5+S5+T5+U5+V5</f>
        <v>2307.6923076923076</v>
      </c>
      <c r="X5" s="20" t="s">
        <v>26</v>
      </c>
      <c r="Y5" s="21"/>
      <c r="Z5" s="24"/>
    </row>
    <row r="6" spans="1:27" ht="45.95" customHeight="1" x14ac:dyDescent="0.15">
      <c r="A6" s="6">
        <v>4</v>
      </c>
      <c r="B6" s="26" t="s">
        <v>32</v>
      </c>
      <c r="C6" s="28" t="s">
        <v>34</v>
      </c>
      <c r="D6" s="27" t="s">
        <v>36</v>
      </c>
      <c r="E6" s="7" t="s">
        <v>25</v>
      </c>
      <c r="F6" s="7">
        <f>5000/26</f>
        <v>192.30769230769232</v>
      </c>
      <c r="G6" s="7">
        <v>11</v>
      </c>
      <c r="H6" s="7">
        <f>F6*11</f>
        <v>2115.3846153846157</v>
      </c>
      <c r="I6" s="7"/>
      <c r="J6" s="7">
        <v>0</v>
      </c>
      <c r="K6" s="7">
        <v>0</v>
      </c>
      <c r="L6" s="7">
        <v>0</v>
      </c>
      <c r="M6" s="7"/>
      <c r="N6" s="7">
        <v>0</v>
      </c>
      <c r="O6" s="14">
        <f>H6+K6+L6+N6</f>
        <v>2115.3846153846157</v>
      </c>
      <c r="P6" s="15"/>
      <c r="Q6" s="16">
        <v>0</v>
      </c>
      <c r="R6" s="16">
        <v>0</v>
      </c>
      <c r="S6" s="30"/>
      <c r="T6" s="31"/>
      <c r="U6" s="16">
        <v>0</v>
      </c>
      <c r="V6" s="7">
        <v>0</v>
      </c>
      <c r="W6" s="19">
        <f>O6+Q6+R6+S6+T6+U6+V6</f>
        <v>2115.3846153846157</v>
      </c>
      <c r="X6" s="20" t="s">
        <v>26</v>
      </c>
      <c r="Y6" s="21"/>
      <c r="Z6" s="24"/>
    </row>
    <row r="7" spans="1:27" ht="57" customHeight="1" x14ac:dyDescent="0.15">
      <c r="A7" s="37"/>
      <c r="B7" s="3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36" t="s">
        <v>30</v>
      </c>
      <c r="W7" s="22">
        <f>SUM(W3:W6)</f>
        <v>30947.686923076926</v>
      </c>
      <c r="X7" s="22"/>
      <c r="Y7" s="22"/>
      <c r="Z7" s="25"/>
    </row>
    <row r="8" spans="1:27" ht="25.5" customHeight="1" x14ac:dyDescent="0.15">
      <c r="A8" s="29"/>
    </row>
  </sheetData>
  <mergeCells count="1">
    <mergeCell ref="A1:Z1"/>
  </mergeCells>
  <phoneticPr fontId="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潮州市直及下属单位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Leung</cp:lastModifiedBy>
  <dcterms:created xsi:type="dcterms:W3CDTF">2026-02-02T02:08:00Z</dcterms:created>
  <dcterms:modified xsi:type="dcterms:W3CDTF">2026-03-02T06:58:29Z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